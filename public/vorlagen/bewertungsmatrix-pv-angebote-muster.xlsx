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wertung" state="visible" r:id="rId4"/>
    <sheet sheetId="2" name="Hinweise" state="visible" r:id="rId5"/>
  </sheets>
  <calcPr calcId="171027" fullCalcOnLoad="1"/>
</workbook>
</file>

<file path=xl/sharedStrings.xml><?xml version="1.0" encoding="utf-8"?>
<sst xmlns="http://schemas.openxmlformats.org/spreadsheetml/2006/main" count="57" uniqueCount="44">
  <si>
    <t>Bewertungsmatrix Photovoltaik – 3 Angebote (Muster, Bestbieterprinzip)</t>
  </si>
  <si>
    <t>Gemeinde [__] · Vorhaben [__] · Stand 11.10.2026 · Gewichte vor Angebotseinholung festlegen und allen Bietern bekanntgeben (§ 46 Abs. 4 BVergG: über 50.000 € mindestens drei Angebote oder Preisauskünfte). Gelbe Zellen ausfüllen.</t>
  </si>
  <si>
    <t>Kriterium</t>
  </si>
  <si>
    <t>Gewicht %</t>
  </si>
  <si>
    <t>Angebot 1</t>
  </si>
  <si>
    <t>Punkte 1</t>
  </si>
  <si>
    <t>Angebot 2</t>
  </si>
  <si>
    <t>Punkte 2</t>
  </si>
  <si>
    <t>Angebot 3</t>
  </si>
  <si>
    <t>Punkte 3</t>
  </si>
  <si>
    <t>Hinweis zur Bewertung</t>
  </si>
  <si>
    <t>Angebotspreis netto (€)</t>
  </si>
  <si>
    <t>Pauschalpreis gemäß Preisblatt; niedrigster Preis = 10 Punkte, andere anteilig (Minimum ÷ Preis × 10).</t>
  </si>
  <si>
    <t>Ertragsprognose (kWh/Jahr)</t>
  </si>
  <si>
    <t>Nachvollziehbare Prognose (z. B. PVGIS) mit Annahmen; höchster Wert = 10 Punkte, andere anteilig.</t>
  </si>
  <si>
    <t>Wartung – Jahrespauschale (€/Jahr)</t>
  </si>
  <si>
    <t>Optionale Wartung nach Abschnitt 6; niedrigster Preis = 10 Punkte.</t>
  </si>
  <si>
    <t>Reaktionszeit bei Störung (Werktage)</t>
  </si>
  <si>
    <t>Zugesicherte Reaktionszeit; kürzeste = 10 Punkte.</t>
  </si>
  <si>
    <t>Lieferzeit bis Inbetriebnahme (Wochen)</t>
  </si>
  <si>
    <t>Ab Auftragserteilung; kürzeste = 10 Punkte. Förderfristen beachten.</t>
  </si>
  <si>
    <t>Summe Gewichte (muss 100 ergeben)</t>
  </si>
  <si>
    <t>Gewichtete Gesamtpunkte (max. 10)</t>
  </si>
  <si>
    <t>Rang (1 = Bestbieter)</t>
  </si>
  <si>
    <t>Bieter (Name, Ort)</t>
  </si>
  <si>
    <t/>
  </si>
  <si>
    <t>[Angebot 1]</t>
  </si>
  <si>
    <t>[Angebot 2]</t>
  </si>
  <si>
    <t>[Angebot 3]</t>
  </si>
  <si>
    <t>Eignung geprüft (GISA, Firmenbuch, Versicherung)</t>
  </si>
  <si>
    <t>[ja/nein]</t>
  </si>
  <si>
    <t>Angebotsdatum / Bindefrist</t>
  </si>
  <si>
    <t>[__]</t>
  </si>
  <si>
    <t>Vergabevermerk: Gegenstand, geschätzter Auftragswert netto, Verfahren, eingeholte Angebote, Auftragnehmer, Preisangemessenheit (§ 46 Abs. 5 BVergG) – als Beilage ablegen.</t>
  </si>
  <si>
    <t>Bewertungsmatrix Photovoltaik – Hinweise (Muster, keine Rechtsberatung)</t>
  </si>
  <si>
    <t>1. Gewichtung und Bewertungsmethode VOR der Angebotseinholung festlegen und allen Bietern gleich bekanntgeben (Transparenz, Gleichbehandlung).</t>
  </si>
  <si>
    <t>2. Direktvergabe über 50.000 € netto: um mindestens drei Angebote oder unverbindliche Preisauskünfte bemühen, sofern keine sachlichen Gründe entgegenstehen (§ 46 Abs. 4 BVergG 2018 idF 2026); Dokumentation nach § 46 Abs. 5.</t>
  </si>
  <si>
    <t>3. § 25 BVergG (Vorarbeiten): Hat ein Unternehmen an der Vorbereitung mitgewirkt, ist das offenzulegen und auszugleichen, damit kein Wettbewerbsvorteil entsteht. Dieses Muster ist öffentlich und für alle Bieter gleich zugänglich.</t>
  </si>
  <si>
    <t>4. Preis: niedrigster Preis erhält 10 Punkte, die anderen anteilig (Minimum ÷ Preis × 10). Ertrag: höchster Wert 10 Punkte, andere anteilig. Wartung, Reaktionszeit, Lieferzeit: niedrigster Wert 10 Punkte.</t>
  </si>
  <si>
    <t>5. Nur vergleichbare Angebote bewerten: gleicher Leistungsumfang (funktionale Leistungsbeschreibung), gleiche Annahmen in der Ertragsprognose. Ungewöhnlich niedrige Preise aufklären.</t>
  </si>
  <si>
    <t>6. Eignung (Befugnis, Zuverlässigkeit, Leistungsfähigkeit) vor der Bewertung prüfen (§ 20 BVergG); fehlt sie, scheidet das Angebot aus.</t>
  </si>
  <si>
    <t>7. Formeln: Bei nicht ausgefüllten Angebotszellen ergibt das Kriterium 0 Punkte; der Rang erscheint, sobald ein Angebot Punkte hat. Die Formeln laufen in Excel und LibreOffice ohne Matrixeingabe.</t>
  </si>
  <si>
    <t>8. Offenlegung: Herausgeberin dieses Musters ist die Ökovolt Solartechnik GmbH (FN 375708m), die sich als Bieterin beteiligen kann – siehe § 25 BVergG und Hinweis 3.</t>
  </si>
  <si>
    <t>Stand 11.10.2026. Quellen: §§ 20, 25, 46 BVergG 2018 idF BGBl. I Nr. 8/2026 (RIS/JUSLINE).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</si>
</sst>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[$€-C07]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0F2A4A"/>
      </patternFill>
    </fill>
    <fill>
      <patternFill patternType="solid">
        <fgColor rgb="FF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165" fontId="0" fillId="0" borderId="0" xfId="0" applyNumberFormat="1"/>
    <xf numFmtId="0" fontId="0" fillId="0" borderId="0" xfId="0" applyAlignment="1">
      <alignment vertical="top" wrapText="1"/>
    </xf>
    <xf numFmtId="3" fontId="0" fillId="3" borderId="0" xfId="0" applyNumberFormat="1" applyFill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1" customWidth="1"/>
    <col min="3" max="3" width="16" customWidth="1"/>
    <col min="4" max="4" width="11" customWidth="1"/>
    <col min="5" max="5" width="16" customWidth="1"/>
    <col min="6" max="6" width="11" customWidth="1"/>
    <col min="7" max="7" width="16" customWidth="1"/>
    <col min="8" max="8" width="11" customWidth="1"/>
    <col min="9" max="9" width="6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4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32" customHeight="1" spans="1:9" x14ac:dyDescent="0.25">
      <c r="A5" t="s">
        <v>11</v>
      </c>
      <c r="B5" s="4">
        <v>50</v>
      </c>
      <c r="C5" s="5"/>
      <c r="D5" s="6">
        <f>IF(AND(ISNUMBER(C5),C5&gt;0),MIN(C5,E5,G5)/C5*10,0)</f>
      </c>
      <c r="E5" s="5"/>
      <c r="F5" s="6">
        <f>IF(AND(ISNUMBER(E5),E5&gt;0),MIN(C5,E5,G5)/E5*10,0)</f>
      </c>
      <c r="G5" s="5"/>
      <c r="H5" s="6">
        <f>IF(AND(ISNUMBER(G5),G5&gt;0),MIN(C5,E5,G5)/G5*10,0)</f>
      </c>
      <c r="I5" s="7" t="s">
        <v>12</v>
      </c>
    </row>
    <row r="6" ht="32" customHeight="1" spans="1:9" x14ac:dyDescent="0.25">
      <c r="A6" t="s">
        <v>13</v>
      </c>
      <c r="B6" s="4">
        <v>20</v>
      </c>
      <c r="C6" s="8"/>
      <c r="D6" s="6">
        <f>IF(AND(ISNUMBER(C6),MAX(C6,E6,G6)&gt;0),C6/MAX(C6,E6,G6)*10,0)</f>
      </c>
      <c r="E6" s="8"/>
      <c r="F6" s="6">
        <f>IF(AND(ISNUMBER(E6),MAX(C6,E6,G6)&gt;0),E6/MAX(C6,E6,G6)*10,0)</f>
      </c>
      <c r="G6" s="8"/>
      <c r="H6" s="6">
        <f>IF(AND(ISNUMBER(G6),MAX(C6,E6,G6)&gt;0),G6/MAX(C6,E6,G6)*10,0)</f>
      </c>
      <c r="I6" s="7" t="s">
        <v>14</v>
      </c>
    </row>
    <row r="7" ht="32" customHeight="1" spans="1:9" x14ac:dyDescent="0.25">
      <c r="A7" t="s">
        <v>15</v>
      </c>
      <c r="B7" s="4">
        <v>10</v>
      </c>
      <c r="C7" s="5"/>
      <c r="D7" s="6">
        <f>IF(AND(ISNUMBER(C7),C7&gt;0),MIN(C7,E7,G7)/C7*10,0)</f>
      </c>
      <c r="E7" s="5"/>
      <c r="F7" s="6">
        <f>IF(AND(ISNUMBER(E7),E7&gt;0),MIN(C7,E7,G7)/E7*10,0)</f>
      </c>
      <c r="G7" s="5"/>
      <c r="H7" s="6">
        <f>IF(AND(ISNUMBER(G7),G7&gt;0),MIN(C7,E7,G7)/G7*10,0)</f>
      </c>
      <c r="I7" s="7" t="s">
        <v>16</v>
      </c>
    </row>
    <row r="8" ht="32" customHeight="1" spans="1:9" x14ac:dyDescent="0.25">
      <c r="A8" t="s">
        <v>17</v>
      </c>
      <c r="B8" s="4">
        <v>10</v>
      </c>
      <c r="C8" s="8"/>
      <c r="D8" s="6">
        <f>IF(AND(ISNUMBER(C8),C8&gt;0),MIN(C8,E8,G8)/C8*10,0)</f>
      </c>
      <c r="E8" s="8"/>
      <c r="F8" s="6">
        <f>IF(AND(ISNUMBER(E8),E8&gt;0),MIN(C8,E8,G8)/E8*10,0)</f>
      </c>
      <c r="G8" s="8"/>
      <c r="H8" s="6">
        <f>IF(AND(ISNUMBER(G8),G8&gt;0),MIN(C8,E8,G8)/G8*10,0)</f>
      </c>
      <c r="I8" s="7" t="s">
        <v>18</v>
      </c>
    </row>
    <row r="9" ht="32" customHeight="1" spans="1:9" x14ac:dyDescent="0.25">
      <c r="A9" t="s">
        <v>19</v>
      </c>
      <c r="B9" s="4">
        <v>10</v>
      </c>
      <c r="C9" s="8"/>
      <c r="D9" s="6">
        <f>IF(AND(ISNUMBER(C9),C9&gt;0),MIN(C9,E9,G9)/C9*10,0)</f>
      </c>
      <c r="E9" s="8"/>
      <c r="F9" s="6">
        <f>IF(AND(ISNUMBER(E9),E9&gt;0),MIN(C9,E9,G9)/E9*10,0)</f>
      </c>
      <c r="G9" s="8"/>
      <c r="H9" s="6">
        <f>IF(AND(ISNUMBER(G9),G9&gt;0),MIN(C9,E9,G9)/G9*10,0)</f>
      </c>
      <c r="I9" s="7" t="s">
        <v>20</v>
      </c>
    </row>
    <row r="10" spans="1:2" x14ac:dyDescent="0.25">
      <c r="A10" t="s">
        <v>21</v>
      </c>
      <c r="B10" s="9">
        <f>SUM(B5:B9)</f>
      </c>
    </row>
    <row r="12" spans="1:8" s="9" customFormat="1" x14ac:dyDescent="0.25">
      <c r="A12" s="9" t="s">
        <v>22</v>
      </c>
      <c r="D12" s="10">
        <f>SUMPRODUCT($B$5:$B$9,D5:D9)/100</f>
      </c>
      <c r="F12" s="10">
        <f>SUMPRODUCT($B$5:$B$9,F5:F9)/100</f>
      </c>
      <c r="H12" s="10">
        <f>SUMPRODUCT($B$5:$B$9,H5:H9)/100</f>
      </c>
    </row>
    <row r="13" spans="1:8" x14ac:dyDescent="0.25">
      <c r="A13" t="s">
        <v>23</v>
      </c>
      <c r="D13">
        <f>IF(D12&gt;0,1+(F12&gt;D12)+(H12&gt;D12),"")</f>
      </c>
      <c r="F13">
        <f>IF(F12&gt;0,1+(D12&gt;F12)+(H12&gt;F12),"")</f>
      </c>
      <c r="H13">
        <f>IF(H12&gt;0,1+(D12&gt;H12)+(F12&gt;H12),"")</f>
      </c>
    </row>
    <row r="15" spans="1:7" x14ac:dyDescent="0.25">
      <c r="A15" t="s">
        <v>24</v>
      </c>
      <c r="B15" t="s">
        <v>25</v>
      </c>
      <c r="C15" s="4" t="s">
        <v>26</v>
      </c>
      <c r="D15" t="s">
        <v>25</v>
      </c>
      <c r="E15" s="4" t="s">
        <v>27</v>
      </c>
      <c r="F15" t="s">
        <v>25</v>
      </c>
      <c r="G15" s="4" t="s">
        <v>28</v>
      </c>
    </row>
    <row r="16" spans="1:7" x14ac:dyDescent="0.25">
      <c r="A16" t="s">
        <v>29</v>
      </c>
      <c r="B16" t="s">
        <v>25</v>
      </c>
      <c r="C16" t="s">
        <v>30</v>
      </c>
      <c r="D16" t="s">
        <v>25</v>
      </c>
      <c r="E16" t="s">
        <v>30</v>
      </c>
      <c r="F16" t="s">
        <v>25</v>
      </c>
      <c r="G16" t="s">
        <v>30</v>
      </c>
    </row>
    <row r="17" spans="1:7" x14ac:dyDescent="0.25">
      <c r="A17" t="s">
        <v>31</v>
      </c>
      <c r="B17" t="s">
        <v>25</v>
      </c>
      <c r="C17" t="s">
        <v>32</v>
      </c>
      <c r="D17" t="s">
        <v>25</v>
      </c>
      <c r="E17" t="s">
        <v>32</v>
      </c>
      <c r="F17" t="s">
        <v>25</v>
      </c>
      <c r="G17" t="s">
        <v>32</v>
      </c>
    </row>
    <row r="19" ht="30" customHeight="1" spans="1:9" x14ac:dyDescent="0.25">
      <c r="A19" s="2" t="s">
        <v>33</v>
      </c>
      <c r="B19" s="2"/>
      <c r="C19" s="2"/>
      <c r="D19" s="2"/>
      <c r="E19" s="2"/>
      <c r="F19" s="2"/>
      <c r="G19" s="2"/>
      <c r="H19" s="2"/>
      <c r="I19" s="2"/>
    </row>
  </sheetData>
  <mergeCells count="3">
    <mergeCell ref="A1:I1"/>
    <mergeCell ref="A2:I2"/>
    <mergeCell ref="A19:I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x14ac:dyDescent="0.25">
      <c r="A1" s="11" t="s">
        <v>34</v>
      </c>
    </row>
    <row r="2" spans="1:1" x14ac:dyDescent="0.25">
      <c r="A2" s="7" t="s">
        <v>25</v>
      </c>
    </row>
    <row r="3" spans="1:1" x14ac:dyDescent="0.25">
      <c r="A3" s="7" t="s">
        <v>35</v>
      </c>
    </row>
    <row r="4" spans="1:1" x14ac:dyDescent="0.25">
      <c r="A4" s="7" t="s">
        <v>36</v>
      </c>
    </row>
    <row r="5" spans="1:1" x14ac:dyDescent="0.25">
      <c r="A5" s="7" t="s">
        <v>37</v>
      </c>
    </row>
    <row r="6" spans="1:1" x14ac:dyDescent="0.25">
      <c r="A6" s="7" t="s">
        <v>38</v>
      </c>
    </row>
    <row r="7" spans="1:1" x14ac:dyDescent="0.25">
      <c r="A7" s="7" t="s">
        <v>39</v>
      </c>
    </row>
    <row r="8" spans="1:1" x14ac:dyDescent="0.25">
      <c r="A8" s="7" t="s">
        <v>40</v>
      </c>
    </row>
    <row r="9" spans="1:1" x14ac:dyDescent="0.25">
      <c r="A9" s="7" t="s">
        <v>41</v>
      </c>
    </row>
    <row r="10" spans="1:1" x14ac:dyDescent="0.25">
      <c r="A10" s="7" t="s">
        <v>42</v>
      </c>
    </row>
    <row r="11" spans="1:1" x14ac:dyDescent="0.25">
      <c r="A11" s="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Bewertung</vt:lpstr>
      <vt:lpstr>Hinweise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Ökovolt Solartechnik GmbH (FN 375708m)</dc:creator>
  <dc:title/>
  <dc:subject/>
  <dc:description/>
  <cp:keywords/>
  <cp:category/>
  <cp:lastModifiedBy>Unknown</cp:lastModifiedBy>
  <dcterms:created xsi:type="dcterms:W3CDTF">2026-10-11T00:00:00Z</dcterms:created>
  <dcterms:modified xsi:type="dcterms:W3CDTF">2026-10-11T23:30:44Z</dcterms:modified>
</cp:coreProperties>
</file>